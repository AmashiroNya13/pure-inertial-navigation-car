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790" tabRatio="600" firstSheet="0" activeTab="0" autoFilterDateGrouping="1"/>
  </bookViews>
  <sheets>
    <sheet xmlns:r="http://schemas.openxmlformats.org/officeDocument/2006/relationships" name="采购清单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'采购清单'!$A$4:$L$44</definedName>
    <definedName name="_xlnm.Print_Titles" localSheetId="0">'采购清单'!$1:$4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name val="Microsoft YaHei"/>
      <b val="1"/>
      <color rgb="00FFFFFF"/>
      <sz val="18"/>
    </font>
    <font>
      <name val="Microsoft YaHei"/>
      <color rgb="004A5568"/>
      <sz val="10"/>
    </font>
    <font>
      <name val="Microsoft YaHei"/>
      <i val="1"/>
      <color rgb="006B7280"/>
      <sz val="10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Calibri"/>
      <family val="2"/>
      <color theme="10"/>
      <sz val="12"/>
      <scheme val="minor"/>
    </font>
    <font>
      <name val="Microsoft YaHei"/>
      <b val="1"/>
      <color rgb="00FFFFFF"/>
      <sz val="16"/>
    </font>
    <font>
      <name val="Microsoft YaHei"/>
      <b val="1"/>
      <color rgb="001F2937"/>
    </font>
    <font>
      <name val="Microsoft YaHei"/>
      <b val="1"/>
      <color rgb="0017365D"/>
      <sz val="12"/>
    </font>
    <font>
      <name val="Microsoft YaHei"/>
      <sz val="10"/>
    </font>
  </fonts>
  <fills count="5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E8F1E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3F6FA"/>
      </patternFill>
    </fill>
    <fill>
      <patternFill patternType="solid">
        <fgColor rgb="00EAF7F5"/>
      </patternFill>
    </fill>
    <fill>
      <patternFill patternType="solid">
        <fgColor rgb="00EEF1FB"/>
      </patternFill>
    </fill>
    <fill>
      <patternFill patternType="solid">
        <fgColor rgb="00FDF2F2"/>
      </patternFill>
    </fill>
    <fill>
      <patternFill patternType="solid">
        <fgColor rgb="00EFF7E8"/>
      </patternFill>
    </fill>
    <fill>
      <patternFill patternType="solid">
        <fgColor rgb="00FFF4E5"/>
      </patternFill>
    </fill>
    <fill>
      <patternFill patternType="solid">
        <fgColor rgb="00F7F0FA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A9D18E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B7C9D6"/>
      </bottom>
    </border>
    <border>
      <bottom style="medium">
        <color rgb="0017365D"/>
      </bottom>
    </border>
    <border>
      <bottom style="thin">
        <color rgb="00D9E2F3"/>
      </bottom>
    </border>
    <border>
      <top style="medium">
        <color rgb="009FBAD0"/>
      </top>
      <bottom style="thin">
        <color rgb="00D9E2F3"/>
      </bottom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9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center" wrapText="1"/>
    </xf>
    <xf numFmtId="0" fontId="23" fillId="35" borderId="10" applyAlignment="1" pivotButton="0" quotePrefix="0" xfId="0">
      <alignment vertical="center" wrapText="1"/>
    </xf>
    <xf numFmtId="0" fontId="0" fillId="36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24" fillId="37" borderId="0" applyAlignment="1" pivotButton="0" quotePrefix="0" xfId="0">
      <alignment horizontal="left" vertical="center"/>
    </xf>
    <xf numFmtId="0" fontId="25" fillId="38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7" fillId="35" borderId="11" applyAlignment="1" pivotButton="0" quotePrefix="0" xfId="0">
      <alignment horizontal="center" vertical="center" wrapText="1"/>
    </xf>
    <xf numFmtId="0" fontId="28" fillId="39" borderId="13" applyAlignment="1" pivotButton="0" quotePrefix="0" xfId="0">
      <alignment horizontal="center" vertical="center"/>
    </xf>
    <xf numFmtId="0" fontId="28" fillId="39" borderId="13" applyAlignment="1" pivotButton="0" quotePrefix="0" xfId="0">
      <alignment vertical="center" wrapText="1"/>
    </xf>
    <xf numFmtId="0" fontId="28" fillId="39" borderId="12" applyAlignment="1" pivotButton="0" quotePrefix="0" xfId="0">
      <alignment horizontal="center" vertical="center"/>
    </xf>
    <xf numFmtId="0" fontId="28" fillId="39" borderId="12" applyAlignment="1" pivotButton="0" quotePrefix="0" xfId="0">
      <alignment vertical="center" wrapText="1"/>
    </xf>
    <xf numFmtId="0" fontId="28" fillId="40" borderId="13" applyAlignment="1" pivotButton="0" quotePrefix="0" xfId="0">
      <alignment horizontal="center" vertical="center"/>
    </xf>
    <xf numFmtId="0" fontId="28" fillId="40" borderId="13" applyAlignment="1" pivotButton="0" quotePrefix="0" xfId="0">
      <alignment vertical="center" wrapText="1"/>
    </xf>
    <xf numFmtId="0" fontId="28" fillId="40" borderId="12" applyAlignment="1" pivotButton="0" quotePrefix="0" xfId="0">
      <alignment horizontal="center" vertical="center"/>
    </xf>
    <xf numFmtId="0" fontId="28" fillId="40" borderId="12" applyAlignment="1" pivotButton="0" quotePrefix="0" xfId="0">
      <alignment vertical="center" wrapText="1"/>
    </xf>
    <xf numFmtId="0" fontId="28" fillId="41" borderId="13" applyAlignment="1" pivotButton="0" quotePrefix="0" xfId="0">
      <alignment horizontal="center" vertical="center"/>
    </xf>
    <xf numFmtId="0" fontId="28" fillId="41" borderId="13" applyAlignment="1" pivotButton="0" quotePrefix="0" xfId="0">
      <alignment vertical="center" wrapText="1"/>
    </xf>
    <xf numFmtId="0" fontId="28" fillId="41" borderId="12" applyAlignment="1" pivotButton="0" quotePrefix="0" xfId="0">
      <alignment horizontal="center" vertical="center"/>
    </xf>
    <xf numFmtId="0" fontId="28" fillId="41" borderId="12" applyAlignment="1" pivotButton="0" quotePrefix="0" xfId="0">
      <alignment vertical="center" wrapText="1"/>
    </xf>
    <xf numFmtId="0" fontId="28" fillId="42" borderId="13" applyAlignment="1" pivotButton="0" quotePrefix="0" xfId="0">
      <alignment horizontal="center" vertical="center"/>
    </xf>
    <xf numFmtId="0" fontId="28" fillId="42" borderId="13" applyAlignment="1" pivotButton="0" quotePrefix="0" xfId="0">
      <alignment vertical="center" wrapText="1"/>
    </xf>
    <xf numFmtId="0" fontId="28" fillId="42" borderId="12" applyAlignment="1" pivotButton="0" quotePrefix="0" xfId="0">
      <alignment horizontal="center" vertical="center"/>
    </xf>
    <xf numFmtId="0" fontId="28" fillId="42" borderId="12" applyAlignment="1" pivotButton="0" quotePrefix="0" xfId="0">
      <alignment vertical="center" wrapText="1"/>
    </xf>
    <xf numFmtId="0" fontId="28" fillId="43" borderId="13" applyAlignment="1" pivotButton="0" quotePrefix="0" xfId="0">
      <alignment horizontal="center" vertical="center"/>
    </xf>
    <xf numFmtId="0" fontId="28" fillId="43" borderId="13" applyAlignment="1" pivotButton="0" quotePrefix="0" xfId="0">
      <alignment vertical="center" wrapText="1"/>
    </xf>
    <xf numFmtId="0" fontId="29" fillId="0" borderId="13" applyAlignment="1" pivotButton="0" quotePrefix="0" xfId="49">
      <alignment vertical="center" wrapText="1"/>
    </xf>
    <xf numFmtId="0" fontId="28" fillId="43" borderId="12" applyAlignment="1" pivotButton="0" quotePrefix="0" xfId="0">
      <alignment horizontal="center" vertical="center"/>
    </xf>
    <xf numFmtId="0" fontId="28" fillId="43" borderId="12" applyAlignment="1" pivotButton="0" quotePrefix="0" xfId="0">
      <alignment vertical="center" wrapText="1"/>
    </xf>
    <xf numFmtId="0" fontId="29" fillId="0" borderId="0" applyAlignment="1" pivotButton="0" quotePrefix="0" xfId="49">
      <alignment vertical="center" wrapText="1"/>
    </xf>
    <xf numFmtId="0" fontId="28" fillId="44" borderId="13" applyAlignment="1" pivotButton="0" quotePrefix="0" xfId="0">
      <alignment horizontal="center" vertical="center"/>
    </xf>
    <xf numFmtId="0" fontId="28" fillId="44" borderId="13" applyAlignment="1" pivotButton="0" quotePrefix="0" xfId="0">
      <alignment vertical="center" wrapText="1"/>
    </xf>
    <xf numFmtId="0" fontId="28" fillId="44" borderId="12" applyAlignment="1" pivotButton="0" quotePrefix="0" xfId="0">
      <alignment horizontal="center" vertical="center"/>
    </xf>
    <xf numFmtId="0" fontId="28" fillId="44" borderId="12" applyAlignment="1" pivotButton="0" quotePrefix="0" xfId="0">
      <alignment vertical="center" wrapText="1"/>
    </xf>
    <xf numFmtId="0" fontId="28" fillId="45" borderId="13" applyAlignment="1" pivotButton="0" quotePrefix="0" xfId="0">
      <alignment horizontal="center" vertical="center"/>
    </xf>
    <xf numFmtId="0" fontId="28" fillId="45" borderId="13" applyAlignment="1" pivotButton="0" quotePrefix="0" xfId="0">
      <alignment vertical="center" wrapText="1"/>
    </xf>
    <xf numFmtId="0" fontId="28" fillId="45" borderId="12" applyAlignment="1" pivotButton="0" quotePrefix="0" xfId="0">
      <alignment horizontal="center" vertical="center"/>
    </xf>
    <xf numFmtId="0" fontId="28" fillId="45" borderId="12" applyAlignment="1" pivotButton="0" quotePrefix="0" xfId="0">
      <alignment vertical="center" wrapText="1"/>
    </xf>
    <xf numFmtId="0" fontId="28" fillId="46" borderId="13" applyAlignment="1" pivotButton="0" quotePrefix="0" xfId="0">
      <alignment horizontal="center" vertical="center"/>
    </xf>
    <xf numFmtId="0" fontId="28" fillId="46" borderId="13" applyAlignment="1" pivotButton="0" quotePrefix="0" xfId="0">
      <alignment vertical="center" wrapText="1"/>
    </xf>
    <xf numFmtId="0" fontId="28" fillId="47" borderId="13" applyAlignment="1" pivotButton="0" quotePrefix="0" xfId="0">
      <alignment horizontal="center" vertical="center"/>
    </xf>
    <xf numFmtId="0" fontId="28" fillId="47" borderId="13" applyAlignment="1" pivotButton="0" quotePrefix="0" xfId="0">
      <alignment vertical="center" wrapText="1"/>
    </xf>
    <xf numFmtId="0" fontId="28" fillId="48" borderId="13" applyAlignment="1" pivotButton="0" quotePrefix="0" xfId="0">
      <alignment horizontal="center" vertical="center"/>
    </xf>
    <xf numFmtId="0" fontId="28" fillId="48" borderId="13" applyAlignment="1" pivotButton="0" quotePrefix="0" xfId="0">
      <alignment vertical="center" wrapText="1"/>
    </xf>
    <xf numFmtId="0" fontId="28" fillId="48" borderId="12" applyAlignment="1" pivotButton="0" quotePrefix="0" xfId="0">
      <alignment horizontal="center" vertical="center"/>
    </xf>
    <xf numFmtId="0" fontId="28" fillId="48" borderId="12" applyAlignment="1" pivotButton="0" quotePrefix="0" xfId="0">
      <alignment vertical="center" wrapText="1"/>
    </xf>
    <xf numFmtId="0" fontId="28" fillId="49" borderId="13" applyAlignment="1" pivotButton="0" quotePrefix="0" xfId="0">
      <alignment horizontal="center" vertical="center"/>
    </xf>
    <xf numFmtId="0" fontId="28" fillId="49" borderId="13" applyAlignment="1" pivotButton="0" quotePrefix="0" xfId="0">
      <alignment vertical="center" wrapText="1"/>
    </xf>
    <xf numFmtId="0" fontId="28" fillId="49" borderId="12" applyAlignment="1" pivotButton="0" quotePrefix="0" xfId="0">
      <alignment horizontal="center" vertical="center"/>
    </xf>
    <xf numFmtId="0" fontId="28" fillId="49" borderId="12" applyAlignment="1" pivotButton="0" quotePrefix="0" xfId="0">
      <alignment vertical="center" wrapText="1"/>
    </xf>
    <xf numFmtId="0" fontId="30" fillId="37" borderId="1" applyAlignment="1" pivotButton="0" quotePrefix="0" xfId="0">
      <alignment vertical="center" wrapText="1"/>
    </xf>
    <xf numFmtId="0" fontId="31" fillId="39" borderId="1" applyAlignment="1" pivotButton="0" quotePrefix="0" xfId="0">
      <alignment vertical="center" wrapText="1"/>
    </xf>
    <xf numFmtId="0" fontId="31" fillId="43" borderId="1" applyAlignment="1" pivotButton="0" quotePrefix="0" xfId="0">
      <alignment vertical="center" wrapText="1"/>
    </xf>
    <xf numFmtId="0" fontId="32" fillId="43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 wrapText="1"/>
    </xf>
    <xf numFmtId="0" fontId="33" fillId="50" borderId="1" applyAlignment="1" pivotButton="0" quotePrefix="0" xfId="0">
      <alignment vertical="center" wrapText="1"/>
    </xf>
    <xf numFmtId="0" fontId="33" fillId="51" borderId="1" applyAlignment="1" pivotButton="0" quotePrefix="0" xfId="0">
      <alignment vertical="center" wrapText="1"/>
    </xf>
    <xf numFmtId="0" fontId="33" fillId="52" borderId="1" applyAlignment="1" pivotButton="0" quotePrefix="0" xfId="0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dxfs count="3">
    <dxf>
      <fill>
        <patternFill patternType="solid">
          <fgColor rgb="00FFE699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curementList" displayName="ProcurementList" ref="A4:L44" headerRowCount="1">
  <autoFilter ref="A4:L44"/>
  <tableColumns count="12">
    <tableColumn id="1" name="序号"/>
    <tableColumn id="2" name="类别"/>
    <tableColumn id="3" name="物料名称"/>
    <tableColumn id="4" name="规格"/>
    <tableColumn id="5" name="材质 / 型号"/>
    <tableColumn id="6" name="数量"/>
    <tableColumn id="7" name="单位"/>
    <tableColumn id="8" name="用途 / 备注"/>
    <tableColumn id="9" name="已采购"/>
    <tableColumn id="10" name="购买链接 / 供应商"/>
    <tableColumn id="11" name="图纸 / 加工文件"/>
    <tableColumn id="12" name="在售核验 / 下单规格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.tb.cn/h.8mcCPRhR8r6Abf2?tk=67dST3um0aT" TargetMode="External" Id="rId1"/><Relationship Type="http://schemas.openxmlformats.org/officeDocument/2006/relationships/hyperlink" Target="https://e.tb.cn/h.8mcCPRhR8r6Abf2?tk=67dST3um0aT" TargetMode="External" Id="rId2"/><Relationship Type="http://schemas.openxmlformats.org/officeDocument/2006/relationships/hyperlink" Target="https://e.tb.cn/h.8k9zIJYJO9kp8Hs?tk=jm5VT3ulzzo" TargetMode="External" Id="rId3"/><Relationship Type="http://schemas.openxmlformats.org/officeDocument/2006/relationships/hyperlink" Target="https://e.tb.cn/h.8mcyAufcbGLKcY3?tk=XZ90T3unac3" TargetMode="External" Id="rId4"/><Relationship Type="http://schemas.openxmlformats.org/officeDocument/2006/relationships/hyperlink" Target="https://e.tb.cn/h.8mczamPgTZqUGx8?tk=T7OHT3uNCEz" TargetMode="External" Id="rId5"/><Relationship Type="http://schemas.openxmlformats.org/officeDocument/2006/relationships/hyperlink" Target="https://e.tb.cn/h.8mXao0V9CyJaiyk?tk=JJL4T3upc49" TargetMode="External" Id="rId6"/><Relationship Type="http://schemas.openxmlformats.org/officeDocument/2006/relationships/hyperlink" Target="https://e.tb.cn/h.8k9HQxnIM9sNRd8?tk=gbwHT3uguuB" TargetMode="External" Id="rId7"/><Relationship Type="http://schemas.openxmlformats.org/officeDocument/2006/relationships/hyperlink" Target="https://e.tb.cn/h.8k9HQxnIM9sNRd8?tk=gbwHT3uguuB" TargetMode="External" Id="rId8"/><Relationship Type="http://schemas.openxmlformats.org/officeDocument/2006/relationships/hyperlink" Target="https://e.tb.cn/h.8k9HQxnIM9sNRd8?tk=gbwHT3uguuB" TargetMode="External" Id="rId9"/><Relationship Type="http://schemas.openxmlformats.org/officeDocument/2006/relationships/hyperlink" Target="https://e.tb.cn/h.8k9HQxnIM9sNRd8?tk=gbwHT3uguuB" TargetMode="External" Id="rId10"/><Relationship Type="http://schemas.openxmlformats.org/officeDocument/2006/relationships/hyperlink" Target="https://e.tb.cn/h.8PkU8AL21aKIX46?tk=FnisT3uELki" TargetMode="External" Id="rId11"/><Relationship Type="http://schemas.openxmlformats.org/officeDocument/2006/relationships/hyperlink" Target="https://e.tb.cn/h.8PkU8AL21aKIX46?tk=FnisT3uELki" TargetMode="External" Id="rId12"/><Relationship Type="http://schemas.openxmlformats.org/officeDocument/2006/relationships/hyperlink" Target="https://e.tb.cn/h.8mXeBmJXwCWEfkR?tk=2YwvT3uFI8e" TargetMode="External" Id="rId13"/><Relationship Type="http://schemas.openxmlformats.org/officeDocument/2006/relationships/hyperlink" Target="https://e.tb.cn/h.8mcJbt6WjCP0JSy?tk=iGsAT3uTzSu" TargetMode="External" Id="rId14"/><Relationship Type="http://schemas.openxmlformats.org/officeDocument/2006/relationships/hyperlink" Target="https://e.tb.cn/h.8mcJbt6WjCP0JSy?tk=iGsAT3uTzSu" TargetMode="External" Id="rId15"/><Relationship Type="http://schemas.openxmlformats.org/officeDocument/2006/relationships/hyperlink" Target="https://e.tb.cn/h.8mcJbt6WjCP0JSy?tk=iGsAT3uTzSu" TargetMode="External" Id="rId16"/><Relationship Type="http://schemas.openxmlformats.org/officeDocument/2006/relationships/hyperlink" Target="https://e.tb.cn/h.8k9GsYJvXbqWoei?tk=fEgjT3uh7nR" TargetMode="External" Id="rId17"/><Relationship Type="http://schemas.openxmlformats.org/officeDocument/2006/relationships/hyperlink" Target="https://e.tb.cn/h.8lpP91xfSjr0gZL?tk=kItUT3uptxv" TargetMode="External" Id="rId18"/><Relationship Type="http://schemas.openxmlformats.org/officeDocument/2006/relationships/hyperlink" Target="https://e.tb.cn/h.8lpkXIzQXcTAgRS?tk=cteeT3uL62O" TargetMode="External" Id="rId19"/><Relationship Type="http://schemas.openxmlformats.org/officeDocument/2006/relationships/hyperlink" Target="https://e.tb.cn/h.8mcxILEdGMrRZHv?tk=NkVrT3uOocV" TargetMode="External" Id="rId20"/><Relationship Type="http://schemas.openxmlformats.org/officeDocument/2006/relationships/hyperlink" Target="https://e.tb.cn/h.8mXUdcSt3XmXSnl?tk=1mKJT3uEBDK" TargetMode="External" Id="rId21"/><Relationship Type="http://schemas.openxmlformats.org/officeDocument/2006/relationships/hyperlink" Target="https://e.tb.cn/h.8mXU98qGpzvzAW9?tk=36ViT3uwCD4" TargetMode="External" Id="rId22"/><Relationship Type="http://schemas.openxmlformats.org/officeDocument/2006/relationships/hyperlink" Target="https://e.tb.cn/h.8P9t6THlsmDb02D?tk=3HiqT3u72p8" TargetMode="External" Id="rId23"/><Relationship Type="http://schemas.openxmlformats.org/officeDocument/2006/relationships/hyperlink" Target="https://e.tb.cn/h.8mX8okkLmuej62t?tk=hs43T3F0tV7" TargetMode="External" Id="rId24"/><Relationship Type="http://schemas.openxmlformats.org/officeDocument/2006/relationships/hyperlink" Target="https://e.tb.cn/h.8mXRO5DbPoWJfw9?tk=By03T3F0om4" TargetMode="External" Id="rId25"/><Relationship Type="http://schemas.openxmlformats.org/officeDocument/2006/relationships/hyperlink" Target="https://e.tb.cn/h.8mX0D4OeRIXlw04?tk=ocbqT3uqjSP" TargetMode="External" Id="rId26"/><Relationship Type="http://schemas.openxmlformats.org/officeDocument/2006/relationships/hyperlink" Target="https://e.tb.cn/h.8PkSTi588UCBtaw?tk=dKFCT3uBW81" TargetMode="External" Id="rId27"/><Relationship Type="http://schemas.openxmlformats.org/officeDocument/2006/relationships/hyperlink" Target="https://e.tb.cn/h.8lp7YVn7C9ZhFWG?tk=GcDuT3ulg6z" TargetMode="External" Id="rId28"/><Relationship Type="http://schemas.openxmlformats.org/officeDocument/2006/relationships/hyperlink" Target="https://e.tb.cn/h.8mcD9pQHB3meS3g?tk=mwmQT3ulk7c" TargetMode="External" Id="rId29"/><Relationship Type="http://schemas.openxmlformats.org/officeDocument/2006/relationships/table" Target="/xl/tables/table1.xml" Id="rId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D38" sqref="D38"/>
    </sheetView>
  </sheetViews>
  <sheetFormatPr baseColWidth="8" defaultColWidth="9" defaultRowHeight="14"/>
  <cols>
    <col width="7" customWidth="1" min="1" max="1"/>
    <col width="15" customWidth="1" min="2" max="2"/>
    <col width="20" customWidth="1" min="3" max="3"/>
    <col width="46" customWidth="1" min="4" max="4"/>
    <col width="26" customWidth="1" min="5" max="5"/>
    <col width="9" customWidth="1" min="6" max="6"/>
    <col width="9" customWidth="1" min="7" max="7"/>
    <col width="50" customWidth="1" min="8" max="8"/>
    <col width="12" customWidth="1" min="9" max="9"/>
    <col width="46" customWidth="1" min="10" max="10"/>
    <col width="41" customWidth="1" min="11" max="11"/>
    <col width="56" customWidth="1" min="12" max="12"/>
  </cols>
  <sheetData>
    <row r="1" ht="34" customHeight="1">
      <c r="A1" s="9" t="inlineStr">
        <is>
          <t>纯惯导车机械采购与加工清单</t>
        </is>
      </c>
    </row>
    <row r="2" ht="24" customHeight="1">
      <c r="A2" s="10" t="inlineStr">
        <is>
          <t>默认配置：纯惯导 v4.0.3 / 加强茎 v7.0.0 / 1:5 减速比；下单前以“在售核验 / 下单规格”列和最终商品页为准。</t>
        </is>
      </c>
    </row>
    <row r="3" ht="22" customHeight="1">
      <c r="A3" s="11" t="inlineStr">
        <is>
          <t>操作提示：使用筛选查看类别；购买链接可直接点击打开；“已采购”列可手动填写 否 / 是 / 已下单。可选件不要与默认配置重复下单。</t>
        </is>
      </c>
    </row>
    <row r="4" ht="32" customHeight="1">
      <c r="A4" s="12" t="inlineStr">
        <is>
          <t>序号</t>
        </is>
      </c>
      <c r="B4" s="12" t="inlineStr">
        <is>
          <t>类别</t>
        </is>
      </c>
      <c r="C4" s="12" t="inlineStr">
        <is>
          <t>物料名称</t>
        </is>
      </c>
      <c r="D4" s="12" t="inlineStr">
        <is>
          <t>规格</t>
        </is>
      </c>
      <c r="E4" s="12" t="inlineStr">
        <is>
          <t>材质 / 型号</t>
        </is>
      </c>
      <c r="F4" s="12" t="inlineStr">
        <is>
          <t>数量</t>
        </is>
      </c>
      <c r="G4" s="12" t="inlineStr">
        <is>
          <t>单位</t>
        </is>
      </c>
      <c r="H4" s="12" t="inlineStr">
        <is>
          <t>用途 / 备注</t>
        </is>
      </c>
      <c r="I4" s="12" t="inlineStr">
        <is>
          <t>已采购</t>
        </is>
      </c>
      <c r="J4" s="12" t="inlineStr">
        <is>
          <t>购买链接 / 供应商</t>
        </is>
      </c>
      <c r="K4" s="12" t="inlineStr">
        <is>
          <t>图纸 / 加工文件</t>
        </is>
      </c>
      <c r="L4" s="12" t="inlineStr">
        <is>
          <t>在售核验 / 下单规格</t>
        </is>
      </c>
    </row>
    <row r="5" ht="42" customHeight="1">
      <c r="A5" s="13" t="n">
        <v>1</v>
      </c>
      <c r="B5" s="14" t="inlineStr">
        <is>
          <t>CNC 加工</t>
        </is>
      </c>
      <c r="C5" s="14" t="inlineStr">
        <is>
          <t>主支撑加强筋</t>
        </is>
      </c>
      <c r="D5" s="14" t="inlineStr">
        <is>
          <t>加强茎 v7.0.0；2 份</t>
        </is>
      </c>
      <c r="E5" s="14" t="inlineStr">
        <is>
          <t>碳纤维板</t>
        </is>
      </c>
      <c r="F5" s="13" t="n">
        <v>2</v>
      </c>
      <c r="G5" s="13" t="inlineStr">
        <is>
          <t>份</t>
        </is>
      </c>
      <c r="H5" s="14" t="inlineStr">
        <is>
          <t>纯惯导版本必做。原文件名“加强茎”沿用建模命名。 CNC 必须按图增加 M2 螺纹孔，并逐孔试装确认。</t>
        </is>
      </c>
      <c r="I5" s="13" t="inlineStr">
        <is>
          <t>否</t>
        </is>
      </c>
      <c r="J5" s="14" t="inlineStr">
        <is>
          <t>淘宝搜索“哈长伟”；按 STEP 文件 CNC 加工</t>
        </is>
      </c>
      <c r="K5" s="14" t="inlineStr">
        <is>
          <t>mechanical/step/加强茎v7.0.0.STEP</t>
        </is>
      </c>
      <c r="L5" s="14" t="inlineStr"/>
    </row>
    <row r="6" ht="42" customHeight="1">
      <c r="A6" s="15" t="n">
        <v>2</v>
      </c>
      <c r="B6" s="16" t="inlineStr">
        <is>
          <t>CNC 加工</t>
        </is>
      </c>
      <c r="C6" s="16" t="inlineStr">
        <is>
          <t>侧板 / 电机支撑</t>
        </is>
      </c>
      <c r="D6" s="16" t="inlineStr">
        <is>
          <t>侧板 v3.2.6；2 份</t>
        </is>
      </c>
      <c r="E6" s="16" t="inlineStr">
        <is>
          <t>碳纤维板</t>
        </is>
      </c>
      <c r="F6" s="15" t="n">
        <v>2</v>
      </c>
      <c r="G6" s="15" t="inlineStr">
        <is>
          <t>份</t>
        </is>
      </c>
      <c r="H6" s="16" t="inlineStr">
        <is>
          <t>必做；电机支撑。以 STEP 文件为加工依据。 CNC 必须按图增加 M2 螺纹孔，并逐孔试装确认。</t>
        </is>
      </c>
      <c r="I6" s="15" t="inlineStr">
        <is>
          <t>否</t>
        </is>
      </c>
      <c r="J6" s="16" t="inlineStr">
        <is>
          <t>浏览器搜索“铨洲”；按 STEP 文件 CNC 加工</t>
        </is>
      </c>
      <c r="K6" s="16" t="inlineStr">
        <is>
          <t>mechanical/step/侧板v3.2.6.STEP</t>
        </is>
      </c>
      <c r="L6" s="16" t="inlineStr"/>
    </row>
    <row r="7" ht="42" customHeight="1">
      <c r="A7" s="15" t="n">
        <v>3</v>
      </c>
      <c r="B7" s="16" t="inlineStr">
        <is>
          <t>CNC 加工</t>
        </is>
      </c>
      <c r="C7" s="16" t="inlineStr">
        <is>
          <t>纯惯导车模底板</t>
        </is>
      </c>
      <c r="D7" s="16" t="inlineStr">
        <is>
          <t>车模 v4.0.3；1 份</t>
        </is>
      </c>
      <c r="E7" s="16" t="inlineStr">
        <is>
          <t>碳纤维板</t>
        </is>
      </c>
      <c r="F7" s="15" t="n">
        <v>1</v>
      </c>
      <c r="G7" s="15" t="inlineStr">
        <is>
          <t>份</t>
        </is>
      </c>
      <c r="H7" s="16" t="inlineStr">
        <is>
          <t>纯惯导版本必做；搭配加强茎 v7.0.0。以 STEP 文件为加工依据。 CNC 必须按图增加 M2 螺纹孔，并逐孔试装确认。</t>
        </is>
      </c>
      <c r="I7" s="15" t="inlineStr">
        <is>
          <t>否</t>
        </is>
      </c>
      <c r="J7" s="16" t="inlineStr">
        <is>
          <t>淘宝搜索“哈长伟”；按 STEP 文件 CNC 加工</t>
        </is>
      </c>
      <c r="K7" s="16" t="inlineStr">
        <is>
          <t>mechanical/step/车模v4.0.3.STEP</t>
        </is>
      </c>
      <c r="L7" s="16" t="inlineStr"/>
    </row>
    <row r="8" ht="42" customHeight="1">
      <c r="A8" s="15" t="n">
        <v>4</v>
      </c>
      <c r="B8" s="16" t="inlineStr">
        <is>
          <t>CNC 加工</t>
        </is>
      </c>
      <c r="C8" s="16" t="inlineStr">
        <is>
          <t>边板 / 轮毂支撑</t>
        </is>
      </c>
      <c r="D8" s="16" t="inlineStr">
        <is>
          <t>边板2 v2.3.5；2 份</t>
        </is>
      </c>
      <c r="E8" s="16" t="inlineStr">
        <is>
          <t>碳纤维板</t>
        </is>
      </c>
      <c r="F8" s="15" t="n">
        <v>2</v>
      </c>
      <c r="G8" s="15" t="inlineStr">
        <is>
          <t>份</t>
        </is>
      </c>
      <c r="H8" s="16" t="inlineStr">
        <is>
          <t>必做；轮毂支撑。以 STEP 文件为加工依据。 CNC 必须按图增加 M2 螺纹孔，并逐孔试装确认。</t>
        </is>
      </c>
      <c r="I8" s="15" t="inlineStr">
        <is>
          <t>否</t>
        </is>
      </c>
      <c r="J8" s="16" t="inlineStr">
        <is>
          <t>浏览器搜索“铨洲”；按 STEP 文件 CNC 加工</t>
        </is>
      </c>
      <c r="K8" s="16" t="inlineStr">
        <is>
          <t>mechanical/step/边板2v2.3.5.STEP</t>
        </is>
      </c>
      <c r="L8" s="16" t="inlineStr"/>
    </row>
    <row r="9" ht="42" customHeight="1">
      <c r="A9" s="17" t="n">
        <v>5</v>
      </c>
      <c r="B9" s="18" t="inlineStr">
        <is>
          <t>3D 打印</t>
        </is>
      </c>
      <c r="C9" s="18" t="inlineStr">
        <is>
          <t>轮毂齿轮</t>
        </is>
      </c>
      <c r="D9" s="18" t="inlineStr">
        <is>
          <t>齿轮 v1.3.1；1:5 减速比；配套小齿轮为 0.5 模 10 齿；2 份</t>
        </is>
      </c>
      <c r="E9" s="18" t="inlineStr">
        <is>
          <t>PA12S</t>
        </is>
      </c>
      <c r="F9" s="17" t="n">
        <v>2</v>
      </c>
      <c r="G9" s="17" t="inlineStr">
        <is>
          <t>份</t>
        </is>
      </c>
      <c r="H9" s="18" t="inlineStr">
        <is>
          <t>纯惯导当前 1:5 配置；推荐嘉立创 PA12S。</t>
        </is>
      </c>
      <c r="I9" s="17" t="inlineStr">
        <is>
          <t>否</t>
        </is>
      </c>
      <c r="J9" s="18" t="inlineStr">
        <is>
          <t>嘉立创 3D 打印 PA12S；上传对应 STEP 文件</t>
        </is>
      </c>
      <c r="K9" s="18" t="inlineStr">
        <is>
          <t>mechanical/step/齿轮v1.3.1.STEP</t>
        </is>
      </c>
      <c r="L9" s="18" t="inlineStr">
        <is>
          <t>与 0.5 模 10 齿黄铜小齿轮配套。</t>
        </is>
      </c>
    </row>
    <row r="10" ht="42" customHeight="1">
      <c r="A10" s="19" t="n">
        <v>6</v>
      </c>
      <c r="B10" s="20" t="inlineStr">
        <is>
          <t>3D 打印</t>
        </is>
      </c>
      <c r="C10" s="20" t="inlineStr">
        <is>
          <t>磁铁固定件</t>
        </is>
      </c>
      <c r="D10" s="20" t="inlineStr">
        <is>
          <t>粘胶 v7；2 份</t>
        </is>
      </c>
      <c r="E10" s="20" t="inlineStr">
        <is>
          <t>PLA + PETG</t>
        </is>
      </c>
      <c r="F10" s="19" t="n">
        <v>2</v>
      </c>
      <c r="G10" s="19" t="inlineStr">
        <is>
          <t>份</t>
        </is>
      </c>
      <c r="H10" s="20" t="inlineStr">
        <is>
          <t>必做；原说明建议 PLA 与 PETG 双料打印。</t>
        </is>
      </c>
      <c r="I10" s="19" t="inlineStr">
        <is>
          <t>否</t>
        </is>
      </c>
      <c r="J10" s="20" t="inlineStr">
        <is>
          <t>自行 3D 打印；建议 PLA + PETG 双料打印</t>
        </is>
      </c>
      <c r="K10" s="20" t="inlineStr">
        <is>
          <t>mechanical/step/粘胶v7.STEP</t>
        </is>
      </c>
      <c r="L10" s="20" t="inlineStr"/>
    </row>
    <row r="11" ht="42" customHeight="1">
      <c r="A11" s="21" t="n">
        <v>7</v>
      </c>
      <c r="B11" s="22" t="inlineStr">
        <is>
          <t>可选 CNC 加工</t>
        </is>
      </c>
      <c r="C11" s="22" t="inlineStr">
        <is>
          <t>光电管版本加强筋</t>
        </is>
      </c>
      <c r="D11" s="22" t="inlineStr">
        <is>
          <t>加强茎 v6.1.1；2 份</t>
        </is>
      </c>
      <c r="E11" s="22" t="inlineStr">
        <is>
          <t>碳纤维板</t>
        </is>
      </c>
      <c r="F11" s="21" t="n">
        <v>2</v>
      </c>
      <c r="G11" s="21" t="inlineStr">
        <is>
          <t>份</t>
        </is>
      </c>
      <c r="H11" s="22" t="inlineStr">
        <is>
          <t>光电管车模版本；与纯惯导 v7.0.0 二选一。 CNC 必须按图增加 M2 螺纹孔，并逐孔试装确认。</t>
        </is>
      </c>
      <c r="I11" s="21" t="inlineStr">
        <is>
          <t>否</t>
        </is>
      </c>
      <c r="J11" s="22" t="inlineStr">
        <is>
          <t>淘宝搜索“哈长伟”；按 STEP 文件 CNC 加工</t>
        </is>
      </c>
      <c r="K11" s="22" t="inlineStr">
        <is>
          <t>mechanical/step/加强茎v6.1.1.STEP</t>
        </is>
      </c>
      <c r="L11" s="22" t="inlineStr"/>
    </row>
    <row r="12" ht="42" customHeight="1">
      <c r="A12" s="23" t="n">
        <v>8</v>
      </c>
      <c r="B12" s="24" t="inlineStr">
        <is>
          <t>可选 CNC 加工</t>
        </is>
      </c>
      <c r="C12" s="24" t="inlineStr">
        <is>
          <t>光电管车模底板</t>
        </is>
      </c>
      <c r="D12" s="24" t="inlineStr">
        <is>
          <t>车模 v3.9.5；1 份</t>
        </is>
      </c>
      <c r="E12" s="24" t="inlineStr">
        <is>
          <t>碳纤维板</t>
        </is>
      </c>
      <c r="F12" s="23" t="n">
        <v>1</v>
      </c>
      <c r="G12" s="23" t="inlineStr">
        <is>
          <t>份</t>
        </is>
      </c>
      <c r="H12" s="24" t="inlineStr">
        <is>
          <t>光电管车模版本；与纯惯导 v4.0.3 二选一，搭配加强茎 v6.1.1。 CNC 必须按图增加 M2 螺纹孔，并逐孔试装确认。</t>
        </is>
      </c>
      <c r="I12" s="23" t="inlineStr">
        <is>
          <t>否</t>
        </is>
      </c>
      <c r="J12" s="24" t="inlineStr">
        <is>
          <t>淘宝搜索“哈长伟”；按 STEP 文件 CNC 加工</t>
        </is>
      </c>
      <c r="K12" s="24" t="inlineStr">
        <is>
          <t>mechanical/step/车模v3.9.5.STEP</t>
        </is>
      </c>
      <c r="L12" s="24" t="inlineStr"/>
    </row>
    <row r="13" ht="42" customHeight="1">
      <c r="A13" s="25" t="n">
        <v>9</v>
      </c>
      <c r="B13" s="26" t="inlineStr">
        <is>
          <t>可选 3D 打印</t>
        </is>
      </c>
      <c r="C13" s="26" t="inlineStr">
        <is>
          <t>轮毂齿轮</t>
        </is>
      </c>
      <c r="D13" s="26" t="inlineStr">
        <is>
          <t>齿轮 v1.1.4；1:8.5 减速比；配套小齿轮为 0.4 模 8 齿；2 份</t>
        </is>
      </c>
      <c r="E13" s="26" t="inlineStr">
        <is>
          <t>PA12S</t>
        </is>
      </c>
      <c r="F13" s="25" t="n">
        <v>2</v>
      </c>
      <c r="G13" s="25" t="inlineStr">
        <is>
          <t>份</t>
        </is>
      </c>
      <c r="H13" s="26" t="inlineStr">
        <is>
          <t>普通 1:8.5 配置；与 1:5 齿轮二选一。</t>
        </is>
      </c>
      <c r="I13" s="25" t="inlineStr">
        <is>
          <t>否</t>
        </is>
      </c>
      <c r="J13" s="26" t="inlineStr">
        <is>
          <t>嘉立创 3D 打印 PA12S；上传对应 STEP 文件</t>
        </is>
      </c>
      <c r="K13" s="26" t="inlineStr">
        <is>
          <t>mechanical/step/齿轮v1.1.4.STEP</t>
        </is>
      </c>
      <c r="L13" s="26" t="inlineStr">
        <is>
          <t>与 0.4 模 8 齿黄铜小齿轮配套。</t>
        </is>
      </c>
    </row>
    <row r="14" ht="42" customHeight="1">
      <c r="A14" s="27" t="n">
        <v>10</v>
      </c>
      <c r="B14" s="28" t="inlineStr">
        <is>
          <t>可选 3D 打印</t>
        </is>
      </c>
      <c r="C14" s="28" t="inlineStr">
        <is>
          <t>电磁支架（方案 A）</t>
        </is>
      </c>
      <c r="D14" s="28" t="inlineStr">
        <is>
          <t>电磁支架 v1.0.0</t>
        </is>
      </c>
      <c r="E14" s="28" t="inlineStr">
        <is>
          <t>PLA</t>
        </is>
      </c>
      <c r="F14" s="27" t="n">
        <v>1</v>
      </c>
      <c r="G14" s="27" t="inlineStr">
        <is>
          <t>份</t>
        </is>
      </c>
      <c r="H14" s="28" t="inlineStr">
        <is>
          <t>仅电磁组需要，不属于纯惯导整车必做件。</t>
        </is>
      </c>
      <c r="I14" s="27" t="inlineStr">
        <is>
          <t>否</t>
        </is>
      </c>
      <c r="J14" s="28" t="inlineStr">
        <is>
          <t>自行 3D 打印 PLA</t>
        </is>
      </c>
      <c r="K14" s="28" t="inlineStr">
        <is>
          <t>mechanical/step/电磁支架v1.0.0.STEP</t>
        </is>
      </c>
      <c r="L14" s="28" t="inlineStr"/>
    </row>
    <row r="15" ht="42" customHeight="1">
      <c r="A15" s="27" t="n">
        <v>11</v>
      </c>
      <c r="B15" s="28" t="inlineStr">
        <is>
          <t>可选 3D 打印</t>
        </is>
      </c>
      <c r="C15" s="28" t="inlineStr">
        <is>
          <t>电磁支架（方案 B）</t>
        </is>
      </c>
      <c r="D15" s="28" t="inlineStr">
        <is>
          <t>电磁支架2 v1.0.0</t>
        </is>
      </c>
      <c r="E15" s="28" t="inlineStr">
        <is>
          <t>PLA</t>
        </is>
      </c>
      <c r="F15" s="27" t="n">
        <v>1</v>
      </c>
      <c r="G15" s="27" t="inlineStr">
        <is>
          <t>份</t>
        </is>
      </c>
      <c r="H15" s="28" t="inlineStr">
        <is>
          <t>仅电磁组需要；与方案 A 二选一。</t>
        </is>
      </c>
      <c r="I15" s="27" t="inlineStr">
        <is>
          <t>否</t>
        </is>
      </c>
      <c r="J15" s="28" t="inlineStr">
        <is>
          <t>自行 3D 打印 PLA</t>
        </is>
      </c>
      <c r="K15" s="28" t="inlineStr">
        <is>
          <t>mechanical/step/电磁支架2v1.0.0.STEP</t>
        </is>
      </c>
      <c r="L15" s="28" t="inlineStr"/>
    </row>
    <row r="16" ht="42" customHeight="1">
      <c r="A16" s="29" t="n">
        <v>12</v>
      </c>
      <c r="B16" s="30" t="inlineStr">
        <is>
          <t>紧固件</t>
        </is>
      </c>
      <c r="C16" s="30" t="inlineStr">
        <is>
          <t>平垫片</t>
        </is>
      </c>
      <c r="D16" s="30" t="inlineStr">
        <is>
          <t>M2</t>
        </is>
      </c>
      <c r="E16" s="30" t="inlineStr">
        <is>
          <t>PEEK</t>
        </is>
      </c>
      <c r="F16" s="29" t="n">
        <v>10</v>
      </c>
      <c r="G16" s="29" t="inlineStr">
        <is>
          <t>片</t>
        </is>
      </c>
      <c r="H16" s="30" t="inlineStr">
        <is>
          <t>下单选 M2【10个】。</t>
        </is>
      </c>
      <c r="I16" s="29" t="inlineStr">
        <is>
          <t>否</t>
        </is>
      </c>
      <c r="J16" s="31" t="inlineStr">
        <is>
          <t>https://e.tb.cn/h.8mcCPRhR8r6Abf2?tk=67dST3um0aT</t>
        </is>
      </c>
      <c r="K16" s="30" t="n"/>
      <c r="L16" s="30" t="inlineStr">
        <is>
          <t>已核验：在售、有货；包装数匹配。</t>
        </is>
      </c>
    </row>
    <row r="17" ht="42" customHeight="1">
      <c r="A17" s="32" t="n">
        <v>13</v>
      </c>
      <c r="B17" s="33" t="inlineStr">
        <is>
          <t>紧固件</t>
        </is>
      </c>
      <c r="C17" s="33" t="inlineStr">
        <is>
          <t>平垫片</t>
        </is>
      </c>
      <c r="D17" s="33" t="inlineStr">
        <is>
          <t>M2.5</t>
        </is>
      </c>
      <c r="E17" s="33" t="inlineStr">
        <is>
          <t>PEEK</t>
        </is>
      </c>
      <c r="F17" s="32" t="n">
        <v>10</v>
      </c>
      <c r="G17" s="32" t="inlineStr">
        <is>
          <t>片</t>
        </is>
      </c>
      <c r="H17" s="33" t="inlineStr">
        <is>
          <t>下单选 M2.5【10个】。</t>
        </is>
      </c>
      <c r="I17" s="32" t="inlineStr">
        <is>
          <t>否</t>
        </is>
      </c>
      <c r="J17" s="34" t="inlineStr">
        <is>
          <t>https://e.tb.cn/h.8mcCPRhR8r6Abf2?tk=67dST3um0aT</t>
        </is>
      </c>
      <c r="K17" s="33" t="n"/>
      <c r="L17" s="33" t="inlineStr">
        <is>
          <t>已核验：在售、有货；包装数匹配。</t>
        </is>
      </c>
    </row>
    <row r="18" ht="42" customHeight="1">
      <c r="A18" s="32" t="n">
        <v>14</v>
      </c>
      <c r="B18" s="33" t="inlineStr">
        <is>
          <t>紧固件</t>
        </is>
      </c>
      <c r="C18" s="33" t="inlineStr">
        <is>
          <t>盘头螺丝</t>
        </is>
      </c>
      <c r="D18" s="33" t="inlineStr">
        <is>
          <t>M2 x 10 mm</t>
        </is>
      </c>
      <c r="E18" s="33" t="inlineStr">
        <is>
          <t>PEEK</t>
        </is>
      </c>
      <c r="F18" s="32" t="n">
        <v>4</v>
      </c>
      <c r="G18" s="32" t="inlineStr">
        <is>
          <t>颗</t>
        </is>
      </c>
      <c r="H18" s="33" t="inlineStr">
        <is>
          <t>需要 4 颗；下单选 M2*10，按单价购买 4 颗。</t>
        </is>
      </c>
      <c r="I18" s="32" t="inlineStr">
        <is>
          <t>否</t>
        </is>
      </c>
      <c r="J18" s="34" t="inlineStr">
        <is>
          <t>https://e.tb.cn/h.8k9zIJYJO9kp8Hs?tk=jm5VT3ulzzo</t>
        </is>
      </c>
      <c r="K18" s="33" t="n"/>
      <c r="L18" s="33" t="inlineStr">
        <is>
          <t>已核验：在售、有货。</t>
        </is>
      </c>
    </row>
    <row r="19" ht="42" customHeight="1">
      <c r="A19" s="32" t="n">
        <v>15</v>
      </c>
      <c r="B19" s="33" t="inlineStr">
        <is>
          <t>紧固件</t>
        </is>
      </c>
      <c r="C19" s="33" t="inlineStr">
        <is>
          <t>螺丝</t>
        </is>
      </c>
      <c r="D19" s="33" t="inlineStr">
        <is>
          <t>M2.5 x 6 mm</t>
        </is>
      </c>
      <c r="E19" s="33" t="inlineStr">
        <is>
          <t>PEEK</t>
        </is>
      </c>
      <c r="F19" s="32" t="n">
        <v>8</v>
      </c>
      <c r="G19" s="32" t="inlineStr">
        <is>
          <t>颗</t>
        </is>
      </c>
      <c r="H19" s="33" t="inlineStr">
        <is>
          <t>需要 8 颗；下单选 M2.5*6[2只]，下单数量选 4。</t>
        </is>
      </c>
      <c r="I19" s="32" t="inlineStr">
        <is>
          <t>否</t>
        </is>
      </c>
      <c r="J19" s="34" t="inlineStr">
        <is>
          <t>https://e.tb.cn/h.8mcyAufcbGLKcY3?tk=XZ90T3unac3</t>
        </is>
      </c>
      <c r="K19" s="33" t="n"/>
      <c r="L19" s="33" t="inlineStr">
        <is>
          <t>已核验：在售、有货。</t>
        </is>
      </c>
    </row>
    <row r="20" ht="42" customHeight="1">
      <c r="A20" s="32" t="n">
        <v>16</v>
      </c>
      <c r="B20" s="33" t="inlineStr">
        <is>
          <t>紧固件</t>
        </is>
      </c>
      <c r="C20" s="33" t="inlineStr">
        <is>
          <t>螺母</t>
        </is>
      </c>
      <c r="D20" s="33" t="inlineStr">
        <is>
          <t>M2</t>
        </is>
      </c>
      <c r="E20" s="33" t="inlineStr">
        <is>
          <t>PEEK</t>
        </is>
      </c>
      <c r="F20" s="32" t="n">
        <v>4</v>
      </c>
      <c r="G20" s="32" t="inlineStr">
        <is>
          <t>颗</t>
        </is>
      </c>
      <c r="H20" s="33" t="inlineStr">
        <is>
          <t>需要 4 颗；商品为 M2【2只】，下单数量选 2。</t>
        </is>
      </c>
      <c r="I20" s="32" t="inlineStr">
        <is>
          <t>否</t>
        </is>
      </c>
      <c r="J20" s="34" t="inlineStr">
        <is>
          <t>https://e.tb.cn/h.8mczamPgTZqUGx8?tk=T7OHT3uNCEz</t>
        </is>
      </c>
      <c r="K20" s="33" t="n"/>
      <c r="L20" s="33" t="inlineStr">
        <is>
          <t>已核验：在售、有货。</t>
        </is>
      </c>
    </row>
    <row r="21" ht="42" customHeight="1">
      <c r="A21" s="32" t="n">
        <v>17</v>
      </c>
      <c r="B21" s="33" t="inlineStr">
        <is>
          <t>紧固件</t>
        </is>
      </c>
      <c r="C21" s="33" t="inlineStr">
        <is>
          <t>垫片</t>
        </is>
      </c>
      <c r="D21" s="33" t="inlineStr">
        <is>
          <t>内径 4 mm；外径 7 mm；厚 0.3 mm</t>
        </is>
      </c>
      <c r="E21" s="33" t="inlineStr">
        <is>
          <t>POM</t>
        </is>
      </c>
      <c r="F21" s="32" t="n">
        <v>1</v>
      </c>
      <c r="G21" s="32" t="inlineStr">
        <is>
          <t>份</t>
        </is>
      </c>
      <c r="H21" s="33" t="inlineStr">
        <is>
          <t>下单选 4*7*0.3；最小包装为 500 个。</t>
        </is>
      </c>
      <c r="I21" s="32" t="inlineStr">
        <is>
          <t>否</t>
        </is>
      </c>
      <c r="J21" s="34" t="inlineStr">
        <is>
          <t>https://e.tb.cn/h.8mXao0V9CyJaiyk?tk=JJL4T3upc49</t>
        </is>
      </c>
      <c r="K21" s="33" t="n"/>
      <c r="L21" s="33" t="inlineStr">
        <is>
          <t>已核验：在售；规格匹配，包装数大于需求。</t>
        </is>
      </c>
    </row>
    <row r="22" ht="42" customHeight="1">
      <c r="A22" s="32" t="n">
        <v>18</v>
      </c>
      <c r="B22" s="33" t="inlineStr">
        <is>
          <t>紧固件</t>
        </is>
      </c>
      <c r="C22" s="33" t="inlineStr">
        <is>
          <t>螺丝</t>
        </is>
      </c>
      <c r="D22" s="33" t="inlineStr">
        <is>
          <t>M2 x 10 mm</t>
        </is>
      </c>
      <c r="E22" s="33" t="inlineStr">
        <is>
          <t>TA2 钛合金</t>
        </is>
      </c>
      <c r="F22" s="32" t="n">
        <v>10</v>
      </c>
      <c r="G22" s="32" t="inlineStr">
        <is>
          <t>颗</t>
        </is>
      </c>
      <c r="H22" s="33" t="inlineStr">
        <is>
          <t>下单选 M2*10【10只】。</t>
        </is>
      </c>
      <c r="I22" s="32" t="inlineStr">
        <is>
          <t>否</t>
        </is>
      </c>
      <c r="J22" s="34" t="inlineStr">
        <is>
          <t>https://e.tb.cn/h.8k9HQxnIM9sNRd8?tk=gbwHT3uguuB</t>
        </is>
      </c>
      <c r="K22" s="33" t="n"/>
      <c r="L22" s="33" t="inlineStr">
        <is>
          <t>已核验：在售、有货；包装数匹配。</t>
        </is>
      </c>
    </row>
    <row r="23" ht="42" customHeight="1">
      <c r="A23" s="32" t="n">
        <v>19</v>
      </c>
      <c r="B23" s="33" t="inlineStr">
        <is>
          <t>紧固件</t>
        </is>
      </c>
      <c r="C23" s="33" t="inlineStr">
        <is>
          <t>螺丝</t>
        </is>
      </c>
      <c r="D23" s="33" t="inlineStr">
        <is>
          <t>M2 x 3 mm</t>
        </is>
      </c>
      <c r="E23" s="33" t="inlineStr">
        <is>
          <t>TA2 钛合金</t>
        </is>
      </c>
      <c r="F23" s="32" t="n">
        <v>10</v>
      </c>
      <c r="G23" s="32" t="inlineStr">
        <is>
          <t>颗</t>
        </is>
      </c>
      <c r="H23" s="33" t="inlineStr">
        <is>
          <t>下单选 M2*3【10只】。</t>
        </is>
      </c>
      <c r="I23" s="32" t="inlineStr">
        <is>
          <t>否</t>
        </is>
      </c>
      <c r="J23" s="34" t="inlineStr">
        <is>
          <t>https://e.tb.cn/h.8k9HQxnIM9sNRd8?tk=gbwHT3uguuB</t>
        </is>
      </c>
      <c r="K23" s="33" t="n"/>
      <c r="L23" s="33" t="inlineStr">
        <is>
          <t>已核验：在售、有货；包装数匹配。</t>
        </is>
      </c>
    </row>
    <row r="24" ht="42" customHeight="1">
      <c r="A24" s="32" t="n">
        <v>20</v>
      </c>
      <c r="B24" s="33" t="inlineStr">
        <is>
          <t>紧固件</t>
        </is>
      </c>
      <c r="C24" s="33" t="inlineStr">
        <is>
          <t>螺丝</t>
        </is>
      </c>
      <c r="D24" s="33" t="inlineStr">
        <is>
          <t>M2 x 4 mm</t>
        </is>
      </c>
      <c r="E24" s="33" t="inlineStr">
        <is>
          <t>TA2 钛合金</t>
        </is>
      </c>
      <c r="F24" s="32" t="n">
        <v>10</v>
      </c>
      <c r="G24" s="32" t="inlineStr">
        <is>
          <t>颗</t>
        </is>
      </c>
      <c r="H24" s="33" t="inlineStr">
        <is>
          <t>下单选 M2*4【10只】。</t>
        </is>
      </c>
      <c r="I24" s="32" t="inlineStr">
        <is>
          <t>否</t>
        </is>
      </c>
      <c r="J24" s="34" t="inlineStr">
        <is>
          <t>https://e.tb.cn/h.8k9HQxnIM9sNRd8?tk=gbwHT3uguuB</t>
        </is>
      </c>
      <c r="K24" s="33" t="n"/>
      <c r="L24" s="33" t="inlineStr">
        <is>
          <t>已核验：在售、有货；包装数匹配。</t>
        </is>
      </c>
    </row>
    <row r="25" ht="42" customHeight="1">
      <c r="A25" s="32" t="n">
        <v>21</v>
      </c>
      <c r="B25" s="33" t="inlineStr">
        <is>
          <t>紧固件</t>
        </is>
      </c>
      <c r="C25" s="33" t="inlineStr">
        <is>
          <t>螺丝</t>
        </is>
      </c>
      <c r="D25" s="33" t="inlineStr">
        <is>
          <t>M2 x 5 mm</t>
        </is>
      </c>
      <c r="E25" s="33" t="inlineStr">
        <is>
          <t>TA2 钛合金</t>
        </is>
      </c>
      <c r="F25" s="32" t="n">
        <v>10</v>
      </c>
      <c r="G25" s="32" t="inlineStr">
        <is>
          <t>颗</t>
        </is>
      </c>
      <c r="H25" s="33" t="inlineStr">
        <is>
          <t>下单选 M2*5【10只】。</t>
        </is>
      </c>
      <c r="I25" s="32" t="inlineStr">
        <is>
          <t>否</t>
        </is>
      </c>
      <c r="J25" s="34" t="inlineStr">
        <is>
          <t>https://e.tb.cn/h.8k9HQxnIM9sNRd8?tk=gbwHT3uguuB</t>
        </is>
      </c>
      <c r="K25" s="33" t="n"/>
      <c r="L25" s="33" t="inlineStr">
        <is>
          <t>已核验：在售、有货；包装数匹配。</t>
        </is>
      </c>
    </row>
    <row r="26" ht="42" customHeight="1">
      <c r="A26" s="32" t="n">
        <v>22</v>
      </c>
      <c r="B26" s="33" t="inlineStr">
        <is>
          <t>紧固件</t>
        </is>
      </c>
      <c r="C26" s="33" t="inlineStr">
        <is>
          <t>螺丝</t>
        </is>
      </c>
      <c r="D26" s="33" t="inlineStr">
        <is>
          <t>M2 x 3 mm</t>
        </is>
      </c>
      <c r="E26" s="33" t="inlineStr">
        <is>
          <t>碳钢</t>
        </is>
      </c>
      <c r="F26" s="32" t="n">
        <v>100</v>
      </c>
      <c r="G26" s="32" t="inlineStr">
        <is>
          <t>颗</t>
        </is>
      </c>
      <c r="H26" s="33" t="inlineStr">
        <is>
          <t>按 M2 x 3 mm 处理</t>
        </is>
      </c>
      <c r="I26" s="32" t="inlineStr">
        <is>
          <t>否</t>
        </is>
      </c>
      <c r="J26" s="34" t="inlineStr">
        <is>
          <t>https://e.tb.cn/h.8PkU8AL21aKIX46?tk=FnisT3uELki</t>
        </is>
      </c>
      <c r="K26" s="33" t="n"/>
      <c r="L26" s="33" t="inlineStr">
        <is>
          <t>已核验：在售；选 M2*3（100 个装）。</t>
        </is>
      </c>
    </row>
    <row r="27" ht="42" customHeight="1">
      <c r="A27" s="32" t="n">
        <v>23</v>
      </c>
      <c r="B27" s="33" t="inlineStr">
        <is>
          <t>紧固件</t>
        </is>
      </c>
      <c r="C27" s="33" t="inlineStr">
        <is>
          <t>螺丝</t>
        </is>
      </c>
      <c r="D27" s="33" t="inlineStr">
        <is>
          <t>M2 x 4 mm</t>
        </is>
      </c>
      <c r="E27" s="33" t="inlineStr">
        <is>
          <t>碳钢</t>
        </is>
      </c>
      <c r="F27" s="32" t="n">
        <v>100</v>
      </c>
      <c r="G27" s="32" t="inlineStr">
        <is>
          <t>颗</t>
        </is>
      </c>
      <c r="H27" s="33" t="n"/>
      <c r="I27" s="32" t="inlineStr">
        <is>
          <t>否</t>
        </is>
      </c>
      <c r="J27" s="34" t="inlineStr">
        <is>
          <t>https://e.tb.cn/h.8PkU8AL21aKIX46?tk=FnisT3uELki</t>
        </is>
      </c>
      <c r="K27" s="33" t="n"/>
      <c r="L27" s="33" t="inlineStr">
        <is>
          <t>已核验：在售；选 M2*4（100 个装）。</t>
        </is>
      </c>
    </row>
    <row r="28" ht="42" customHeight="1">
      <c r="A28" s="32" t="n">
        <v>24</v>
      </c>
      <c r="B28" s="33" t="inlineStr">
        <is>
          <t>紧固件</t>
        </is>
      </c>
      <c r="C28" s="33" t="inlineStr">
        <is>
          <t>半圆头内六角螺丝</t>
        </is>
      </c>
      <c r="D28" s="33" t="inlineStr">
        <is>
          <t>M2 x 6 mm</t>
        </is>
      </c>
      <c r="E28" s="33" t="inlineStr">
        <is>
          <t>铝合金</t>
        </is>
      </c>
      <c r="F28" s="32" t="n">
        <v>2</v>
      </c>
      <c r="G28" s="32" t="inlineStr">
        <is>
          <t>颗</t>
        </is>
      </c>
      <c r="H28" s="33" t="n"/>
      <c r="I28" s="32" t="inlineStr">
        <is>
          <t>否</t>
        </is>
      </c>
      <c r="J28" s="34" t="inlineStr">
        <is>
          <t>https://e.tb.cn/h.8mXeBmJXwCWEfkR?tk=2YwvT3uFI8e</t>
        </is>
      </c>
      <c r="K28" s="33" t="n"/>
      <c r="L28" s="33" t="inlineStr">
        <is>
          <t>已核验：在售；选 M2*6，商品为 2 个装。</t>
        </is>
      </c>
    </row>
    <row r="29" ht="42" customHeight="1">
      <c r="A29" s="32" t="n">
        <v>25</v>
      </c>
      <c r="B29" s="33" t="inlineStr">
        <is>
          <t>紧固件</t>
        </is>
      </c>
      <c r="C29" s="33" t="inlineStr">
        <is>
          <t>铝柱</t>
        </is>
      </c>
      <c r="D29" s="33" t="inlineStr">
        <is>
          <t>M2 x 3.5 mm</t>
        </is>
      </c>
      <c r="E29" s="33" t="inlineStr">
        <is>
          <t>铝合金</t>
        </is>
      </c>
      <c r="F29" s="32" t="n">
        <v>10</v>
      </c>
      <c r="G29" s="32" t="inlineStr">
        <is>
          <t>颗</t>
        </is>
      </c>
      <c r="H29" s="33" t="inlineStr">
        <is>
          <t>下单选 M2*3.5-D=3.5MM（10支）。</t>
        </is>
      </c>
      <c r="I29" s="32" t="inlineStr">
        <is>
          <t>否</t>
        </is>
      </c>
      <c r="J29" s="34" t="inlineStr">
        <is>
          <t>https://e.tb.cn/h.8mcJbt6WjCP0JSy?tk=iGsAT3uTzSu</t>
        </is>
      </c>
      <c r="K29" s="33" t="n"/>
      <c r="L29" s="33" t="inlineStr">
        <is>
          <t>已核验：在售、有货；规格与 10 支包装匹配。</t>
        </is>
      </c>
    </row>
    <row r="30" ht="42" customHeight="1">
      <c r="A30" s="32" t="n">
        <v>26</v>
      </c>
      <c r="B30" s="33" t="inlineStr">
        <is>
          <t>紧固件</t>
        </is>
      </c>
      <c r="C30" s="33" t="inlineStr">
        <is>
          <t>铝柱</t>
        </is>
      </c>
      <c r="D30" s="33" t="inlineStr">
        <is>
          <t>M2 x 5 mm</t>
        </is>
      </c>
      <c r="E30" s="33" t="inlineStr">
        <is>
          <t>铝合金</t>
        </is>
      </c>
      <c r="F30" s="32" t="n">
        <v>10</v>
      </c>
      <c r="G30" s="32" t="inlineStr">
        <is>
          <t>颗</t>
        </is>
      </c>
      <c r="H30" s="33" t="inlineStr">
        <is>
          <t>下单选 M2*5-D=3.5MM（10支）。</t>
        </is>
      </c>
      <c r="I30" s="32" t="inlineStr">
        <is>
          <t>否</t>
        </is>
      </c>
      <c r="J30" s="34" t="inlineStr">
        <is>
          <t>https://e.tb.cn/h.8mcJbt6WjCP0JSy?tk=iGsAT3uTzSu</t>
        </is>
      </c>
      <c r="K30" s="33" t="n"/>
      <c r="L30" s="33" t="inlineStr">
        <is>
          <t>已核验：在售、有货；规格与 10 支包装匹配。</t>
        </is>
      </c>
    </row>
    <row r="31" ht="42" customHeight="1">
      <c r="A31" s="32" t="n">
        <v>27</v>
      </c>
      <c r="B31" s="33" t="inlineStr">
        <is>
          <t>紧固件</t>
        </is>
      </c>
      <c r="C31" s="33" t="inlineStr">
        <is>
          <t>铝柱</t>
        </is>
      </c>
      <c r="D31" s="33" t="inlineStr">
        <is>
          <t>M2 x 6.8 mm</t>
        </is>
      </c>
      <c r="E31" s="33" t="inlineStr">
        <is>
          <t>铝合金</t>
        </is>
      </c>
      <c r="F31" s="32" t="n">
        <v>10</v>
      </c>
      <c r="G31" s="32" t="inlineStr">
        <is>
          <t>颗</t>
        </is>
      </c>
      <c r="H31" s="33" t="inlineStr">
        <is>
          <t>下单选 M2*6.8-D=3.5MM（10支）。</t>
        </is>
      </c>
      <c r="I31" s="32" t="inlineStr">
        <is>
          <t>否</t>
        </is>
      </c>
      <c r="J31" s="34" t="inlineStr">
        <is>
          <t>https://e.tb.cn/h.8mcJbt6WjCP0JSy?tk=iGsAT3uTzSu</t>
        </is>
      </c>
      <c r="K31" s="33" t="n"/>
      <c r="L31" s="33" t="inlineStr">
        <is>
          <t>已核验：在售、有货；规格与 10 支包装匹配。</t>
        </is>
      </c>
    </row>
    <row r="32" ht="42" customHeight="1">
      <c r="A32" s="32" t="n">
        <v>28</v>
      </c>
      <c r="B32" s="33" t="inlineStr">
        <is>
          <t>紧固件</t>
        </is>
      </c>
      <c r="C32" s="33" t="inlineStr">
        <is>
          <t>铝柱</t>
        </is>
      </c>
      <c r="D32" s="33" t="inlineStr">
        <is>
          <t>M2.5 x 15 mm</t>
        </is>
      </c>
      <c r="E32" s="33" t="inlineStr">
        <is>
          <t>铝合金</t>
        </is>
      </c>
      <c r="F32" s="32" t="n">
        <v>10</v>
      </c>
      <c r="G32" s="32" t="inlineStr">
        <is>
          <t>颗</t>
        </is>
      </c>
      <c r="H32" s="33" t="inlineStr">
        <is>
          <t>下单选 M2.5x15（D4），10 支。</t>
        </is>
      </c>
      <c r="I32" s="32" t="inlineStr">
        <is>
          <t>否</t>
        </is>
      </c>
      <c r="J32" s="34" t="inlineStr">
        <is>
          <t>https://e.tb.cn/h.8k9GsYJvXbqWoei?tk=fEgjT3uh7nR</t>
        </is>
      </c>
      <c r="K32" s="33" t="n"/>
      <c r="L32" s="33" t="inlineStr">
        <is>
          <t>已核验：在售、有货；规格与 10 支包装匹配。</t>
        </is>
      </c>
    </row>
    <row r="33" ht="42" customHeight="1">
      <c r="A33" s="35" t="n">
        <v>29</v>
      </c>
      <c r="B33" s="36" t="inlineStr">
        <is>
          <t>减振</t>
        </is>
      </c>
      <c r="C33" s="36" t="inlineStr">
        <is>
          <t>橡胶垫片</t>
        </is>
      </c>
      <c r="D33" s="36" t="inlineStr">
        <is>
          <t>内径 2 mm；外径 5 mm；厚 1.5 mm</t>
        </is>
      </c>
      <c r="E33" s="36" t="inlineStr">
        <is>
          <t>橡胶</t>
        </is>
      </c>
      <c r="F33" s="35" t="n">
        <v>20</v>
      </c>
      <c r="G33" s="35" t="inlineStr">
        <is>
          <t>颗</t>
        </is>
      </c>
      <c r="H33" s="36" t="inlineStr">
        <is>
          <t>下单选 2*5*1.5（20只）。</t>
        </is>
      </c>
      <c r="I33" s="35" t="inlineStr">
        <is>
          <t>否</t>
        </is>
      </c>
      <c r="J33" s="31" t="inlineStr">
        <is>
          <t>https://e.tb.cn/h.8lpP91xfSjr0gZL?tk=kItUT3uptxv</t>
        </is>
      </c>
      <c r="K33" s="36" t="n"/>
      <c r="L33" s="36" t="inlineStr">
        <is>
          <t>已核验：在售、有货；规格与数量匹配。</t>
        </is>
      </c>
    </row>
    <row r="34" ht="42" customHeight="1">
      <c r="A34" s="37" t="n">
        <v>30</v>
      </c>
      <c r="B34" s="38" t="inlineStr">
        <is>
          <t>减振</t>
        </is>
      </c>
      <c r="C34" s="38" t="inlineStr">
        <is>
          <t>聚氨酯海绵</t>
        </is>
      </c>
      <c r="D34" s="38" t="inlineStr">
        <is>
          <t>待按安装尺寸裁切</t>
        </is>
      </c>
      <c r="E34" s="38" t="inlineStr">
        <is>
          <t>聚氨酯</t>
        </is>
      </c>
      <c r="F34" s="37" t="n">
        <v>1</v>
      </c>
      <c r="G34" s="37" t="inlineStr">
        <is>
          <t>份</t>
        </is>
      </c>
      <c r="H34" s="38" t="inlineStr">
        <is>
          <t>用于 PCB/IMU 减振</t>
        </is>
      </c>
      <c r="I34" s="37" t="inlineStr">
        <is>
          <t>否</t>
        </is>
      </c>
      <c r="J34" s="34" t="inlineStr">
        <is>
          <t>https://e.tb.cn/h.8lpkXIzQXcTAgRS?tk=cteeT3uL62O</t>
        </is>
      </c>
      <c r="K34" s="38" t="n"/>
      <c r="L34" s="38" t="inlineStr"/>
    </row>
    <row r="35" ht="42" customHeight="1">
      <c r="A35" s="39" t="n">
        <v>31</v>
      </c>
      <c r="B35" s="40" t="inlineStr">
        <is>
          <t>传动</t>
        </is>
      </c>
      <c r="C35" s="40" t="inlineStr">
        <is>
          <t>轴承</t>
        </is>
      </c>
      <c r="D35" s="40" t="inlineStr">
        <is>
          <t>内径 4 mm；外径 11 mm；厚 4 mm</t>
        </is>
      </c>
      <c r="E35" s="40" t="inlineStr">
        <is>
          <t>PEEK 或同尺寸替代</t>
        </is>
      </c>
      <c r="F35" s="39" t="n">
        <v>8</v>
      </c>
      <c r="G35" s="39" t="inlineStr">
        <is>
          <t>颗</t>
        </is>
      </c>
      <c r="H35" s="40" t="inlineStr">
        <is>
          <t>轮毂轴承；下单选 PEEK694（内径 4 mm、外径 11 mm、厚 4 mm）。</t>
        </is>
      </c>
      <c r="I35" s="39" t="inlineStr">
        <is>
          <t>否</t>
        </is>
      </c>
      <c r="J35" s="31" t="inlineStr">
        <is>
          <t>https://e.tb.cn/h.8mcxILEdGMrRZHv?tk=NkVrT3uOocV</t>
        </is>
      </c>
      <c r="K35" s="40" t="n"/>
      <c r="L35" s="40" t="inlineStr">
        <is>
          <t>已核验：在售、有货；规格 PEEK694 完全匹配。</t>
        </is>
      </c>
    </row>
    <row r="36" ht="42" customHeight="1">
      <c r="A36" s="41" t="n">
        <v>32</v>
      </c>
      <c r="B36" s="42" t="inlineStr">
        <is>
          <t>传动</t>
        </is>
      </c>
      <c r="C36" s="42" t="inlineStr">
        <is>
          <t>黄铜齿轮</t>
        </is>
      </c>
      <c r="D36" s="42" t="inlineStr">
        <is>
          <t>1:5 减速比配套；0.5 模，10 齿</t>
        </is>
      </c>
      <c r="E36" s="42" t="inlineStr">
        <is>
          <t>黄铜</t>
        </is>
      </c>
      <c r="F36" s="41" t="n">
        <v>2</v>
      </c>
      <c r="G36" s="41" t="inlineStr">
        <is>
          <t>颗</t>
        </is>
      </c>
      <c r="H36" s="42" t="n"/>
      <c r="I36" s="41" t="inlineStr">
        <is>
          <t>否</t>
        </is>
      </c>
      <c r="J36" s="34" t="inlineStr">
        <is>
          <t>https://e.tb.cn/h.8mXUdcSt3XmXSnl?tk=1mKJT3uEBDK</t>
        </is>
      </c>
      <c r="K36" s="42" t="n"/>
      <c r="L36" s="42" t="inlineStr">
        <is>
          <t>已核验：在售；选 10 齿。轴孔有 1.45/1.95/2.25/2.95 mm，按电机轴径选择。</t>
        </is>
      </c>
    </row>
    <row r="37" ht="42" customHeight="1">
      <c r="A37" s="41" t="n">
        <v>33</v>
      </c>
      <c r="B37" s="42" t="inlineStr">
        <is>
          <t>传动</t>
        </is>
      </c>
      <c r="C37" s="42" t="inlineStr">
        <is>
          <t>黄铜齿轮（1:8.5 配套）</t>
        </is>
      </c>
      <c r="D37" s="42" t="inlineStr">
        <is>
          <t>1:8.5 减速比配套；0.4 模，8 齿</t>
        </is>
      </c>
      <c r="E37" s="42" t="inlineStr">
        <is>
          <t>黄铜</t>
        </is>
      </c>
      <c r="F37" s="41" t="n">
        <v>2</v>
      </c>
      <c r="G37" s="41" t="inlineStr">
        <is>
          <t>颗</t>
        </is>
      </c>
      <c r="H37" s="42" t="inlineStr">
        <is>
          <t>与 1:5 的 0.5 模 10 齿齿轮二选一。</t>
        </is>
      </c>
      <c r="I37" s="41" t="inlineStr">
        <is>
          <t>否</t>
        </is>
      </c>
      <c r="J37" s="34" t="inlineStr">
        <is>
          <t>https://e.tb.cn/h.8mXU98qGpzvzAW9?tk=36ViT3uwCD4</t>
        </is>
      </c>
      <c r="K37" s="42" t="inlineStr"/>
      <c r="L37" s="42" t="inlineStr">
        <is>
          <t>已核验：在售；选 8 齿、外径 4 mm、孔 1.48 mm、厚 4 mm。</t>
        </is>
      </c>
    </row>
    <row r="38" ht="42" customHeight="1">
      <c r="A38" s="43" t="n">
        <v>34</v>
      </c>
      <c r="B38" s="44" t="inlineStr">
        <is>
          <t>轮胎</t>
        </is>
      </c>
      <c r="C38" s="44" t="inlineStr">
        <is>
          <t>龙邱 N 车模胎皮</t>
        </is>
      </c>
      <c r="D38" s="44" t="inlineStr">
        <is>
          <t>龙邱 N 车模规格</t>
        </is>
      </c>
      <c r="E38" s="44" t="n"/>
      <c r="F38" s="43" t="n">
        <v>4</v>
      </c>
      <c r="G38" s="43" t="inlineStr">
        <is>
          <t>个</t>
        </is>
      </c>
      <c r="H38" s="44" t="inlineStr">
        <is>
          <t>下单选“闪电鼠-N超软硅胶轮胎”，数量 4。</t>
        </is>
      </c>
      <c r="I38" s="43" t="inlineStr">
        <is>
          <t>否</t>
        </is>
      </c>
      <c r="J38" s="31" t="inlineStr">
        <is>
          <t>https://e.tb.cn/h.8P9t6THlsmDb02D?tk=3HiqT3u72p8</t>
        </is>
      </c>
      <c r="K38" s="44" t="n"/>
      <c r="L38" s="44" t="inlineStr">
        <is>
          <t>已核验：预售，约 5 天发货。</t>
        </is>
      </c>
    </row>
    <row r="39" ht="42" customHeight="1">
      <c r="A39" s="45" t="n">
        <v>35</v>
      </c>
      <c r="B39" s="46" t="inlineStr">
        <is>
          <t>行进</t>
        </is>
      </c>
      <c r="C39" s="46" t="inlineStr">
        <is>
          <t>无刷电机</t>
        </is>
      </c>
      <c r="D39" s="46" t="inlineStr">
        <is>
          <t>T-Motor F1404，3800 KV</t>
        </is>
      </c>
      <c r="E39" s="46" t="n"/>
      <c r="F39" s="45" t="n">
        <v>2</v>
      </c>
      <c r="G39" s="45" t="inlineStr">
        <is>
          <t>颗</t>
        </is>
      </c>
      <c r="H39" s="46" t="inlineStr">
        <is>
          <t>行进电机；下单选 3800KV、一颗装。</t>
        </is>
      </c>
      <c r="I39" s="45" t="inlineStr">
        <is>
          <t>否</t>
        </is>
      </c>
      <c r="J39" s="31" t="inlineStr">
        <is>
          <t>https://e.tb.cn/h.8mX8okkLmuej62t?tk=hs43T3F0tV7</t>
        </is>
      </c>
      <c r="K39" s="46" t="n"/>
      <c r="L39" s="46" t="inlineStr">
        <is>
          <t>已核验：在售、有货。</t>
        </is>
      </c>
    </row>
    <row r="40" ht="42" customHeight="1">
      <c r="A40" s="47" t="n">
        <v>36</v>
      </c>
      <c r="B40" s="48" t="inlineStr">
        <is>
          <t>负压</t>
        </is>
      </c>
      <c r="C40" s="48" t="inlineStr">
        <is>
          <t>无刷电机</t>
        </is>
      </c>
      <c r="D40" s="48" t="inlineStr">
        <is>
          <t>致盈动力 GTS V2 1202.5，6000 KV</t>
        </is>
      </c>
      <c r="E40" s="48" t="n"/>
      <c r="F40" s="47" t="n">
        <v>1</v>
      </c>
      <c r="G40" s="47" t="inlineStr">
        <is>
          <t>颗</t>
        </is>
      </c>
      <c r="H40" s="48" t="inlineStr">
        <is>
          <t>负压电机；下单选 6000KV【3-4S】一个装。</t>
        </is>
      </c>
      <c r="I40" s="47" t="inlineStr">
        <is>
          <t>否</t>
        </is>
      </c>
      <c r="J40" s="31" t="inlineStr">
        <is>
          <t>https://e.tb.cn/h.8mXRO5DbPoWJfw9?tk=By03T3F0om4</t>
        </is>
      </c>
      <c r="K40" s="48" t="n"/>
      <c r="L40" s="48" t="inlineStr">
        <is>
          <t>已核验：在售、有货；商品型号为 GTS V2 1202.5。</t>
        </is>
      </c>
    </row>
    <row r="41" ht="42" customHeight="1">
      <c r="A41" s="49" t="n">
        <v>37</v>
      </c>
      <c r="B41" s="50" t="inlineStr">
        <is>
          <t>负压</t>
        </is>
      </c>
      <c r="C41" s="50" t="inlineStr">
        <is>
          <t>负压膜</t>
        </is>
      </c>
      <c r="D41" s="50" t="inlineStr">
        <is>
          <t>晨光书皮</t>
        </is>
      </c>
      <c r="E41" s="50" t="n"/>
      <c r="F41" s="49" t="n">
        <v>1</v>
      </c>
      <c r="G41" s="49" t="inlineStr">
        <is>
          <t>份</t>
        </is>
      </c>
      <c r="H41" s="50" t="n"/>
      <c r="I41" s="49" t="inlineStr">
        <is>
          <t>否</t>
        </is>
      </c>
      <c r="J41" s="34" t="inlineStr">
        <is>
          <t>https://e.tb.cn/h.8mX0D4OeRIXlw04?tk=ocbqT3uqjSP</t>
        </is>
      </c>
      <c r="K41" s="50" t="n"/>
      <c r="L41" s="50" t="inlineStr"/>
    </row>
    <row r="42" ht="42" customHeight="1">
      <c r="A42" s="49" t="n">
        <v>38</v>
      </c>
      <c r="B42" s="50" t="inlineStr">
        <is>
          <t>负压</t>
        </is>
      </c>
      <c r="C42" s="50" t="inlineStr">
        <is>
          <t>风机</t>
        </is>
      </c>
      <c r="D42" s="50" t="inlineStr">
        <is>
          <t>龙邱 1202.5 尼龙无刷离心风机</t>
        </is>
      </c>
      <c r="E42" s="50" t="n"/>
      <c r="F42" s="49" t="n">
        <v>1</v>
      </c>
      <c r="G42" s="49" t="inlineStr">
        <is>
          <t>份</t>
        </is>
      </c>
      <c r="H42" s="50" t="inlineStr">
        <is>
          <t>下单选“1202.5 尼龙无刷离心风机”，不要误选负压无刷电机。</t>
        </is>
      </c>
      <c r="I42" s="49" t="inlineStr">
        <is>
          <t>否</t>
        </is>
      </c>
      <c r="J42" s="34" t="inlineStr">
        <is>
          <t>https://e.tb.cn/h.8PkSTi588UCBtaw?tk=dKFCT3uBW81</t>
        </is>
      </c>
      <c r="K42" s="50" t="n"/>
      <c r="L42" s="50" t="inlineStr">
        <is>
          <t>已核验：在售；同一链接同时售风机、电机和软膜。</t>
        </is>
      </c>
    </row>
    <row r="43" ht="42" customHeight="1">
      <c r="A43" s="51" t="n">
        <v>39</v>
      </c>
      <c r="B43" s="52" t="inlineStr">
        <is>
          <t>粘接</t>
        </is>
      </c>
      <c r="C43" s="52" t="inlineStr">
        <is>
          <t>双面胶</t>
        </is>
      </c>
      <c r="D43" s="52" t="inlineStr">
        <is>
          <t>3M 9495</t>
        </is>
      </c>
      <c r="E43" s="52" t="n"/>
      <c r="F43" s="51" t="n">
        <v>1</v>
      </c>
      <c r="G43" s="51" t="inlineStr">
        <is>
          <t>卷</t>
        </is>
      </c>
      <c r="H43" s="52" t="inlineStr">
        <is>
          <t>用于贴负压</t>
        </is>
      </c>
      <c r="I43" s="51" t="inlineStr">
        <is>
          <t>否</t>
        </is>
      </c>
      <c r="J43" s="31" t="inlineStr">
        <is>
          <t>https://e.tb.cn/h.8lp7YVn7C9ZhFWG?tk=GcDuT3ulg6z</t>
        </is>
      </c>
      <c r="K43" s="52" t="n"/>
      <c r="L43" s="52" t="inlineStr"/>
    </row>
    <row r="44" ht="42" customHeight="1">
      <c r="A44" s="53" t="n">
        <v>40</v>
      </c>
      <c r="B44" s="54" t="inlineStr">
        <is>
          <t>粘接</t>
        </is>
      </c>
      <c r="C44" s="54" t="inlineStr">
        <is>
          <t>双面胶</t>
        </is>
      </c>
      <c r="D44" s="54" t="inlineStr">
        <is>
          <t>3M VHB</t>
        </is>
      </c>
      <c r="E44" s="54" t="n"/>
      <c r="F44" s="53" t="n">
        <v>1</v>
      </c>
      <c r="G44" s="53" t="inlineStr">
        <is>
          <t>卷</t>
        </is>
      </c>
      <c r="H44" s="54" t="inlineStr">
        <is>
          <t>用于需方便拆除的粘接部位</t>
        </is>
      </c>
      <c r="I44" s="53" t="inlineStr">
        <is>
          <t>否</t>
        </is>
      </c>
      <c r="J44" s="34" t="inlineStr">
        <is>
          <t>https://e.tb.cn/h.8mcD9pQHB3meS3g?tk=mwmQT3ulk7c</t>
        </is>
      </c>
      <c r="K44" s="54" t="n"/>
      <c r="L44" s="54" t="inlineStr"/>
    </row>
  </sheetData>
  <autoFilter ref="A4:L44"/>
  <mergeCells count="3">
    <mergeCell ref="A3:L3"/>
    <mergeCell ref="A2:L2"/>
    <mergeCell ref="A1:L1"/>
  </mergeCells>
  <conditionalFormatting sqref="I5:I44">
    <cfRule type="cellIs" priority="1" operator="equal" dxfId="0">
      <formula>"已下单"</formula>
    </cfRule>
    <cfRule type="cellIs" priority="2" operator="equal" dxfId="1">
      <formula>"是"</formula>
    </cfRule>
    <cfRule type="cellIs" priority="3" operator="equal" dxfId="2">
      <formula>"否"</formula>
    </cfRule>
  </conditionalFormatting>
  <dataValidations count="1">
    <dataValidation sqref="I2:I28 I29:I39" showDropDown="0" showInputMessage="0" showErrorMessage="0" allowBlank="0" type="list">
      <formula1>"否,是,已下单"</formula1>
    </dataValidation>
  </dataValidations>
  <hyperlinks>
    <hyperlink xmlns:r="http://schemas.openxmlformats.org/officeDocument/2006/relationships" ref="J16" r:id="rId1"/>
    <hyperlink xmlns:r="http://schemas.openxmlformats.org/officeDocument/2006/relationships" ref="J17" r:id="rId2"/>
    <hyperlink xmlns:r="http://schemas.openxmlformats.org/officeDocument/2006/relationships" ref="J18" r:id="rId3"/>
    <hyperlink xmlns:r="http://schemas.openxmlformats.org/officeDocument/2006/relationships" ref="J19" r:id="rId4"/>
    <hyperlink xmlns:r="http://schemas.openxmlformats.org/officeDocument/2006/relationships" ref="J20" r:id="rId5"/>
    <hyperlink xmlns:r="http://schemas.openxmlformats.org/officeDocument/2006/relationships" ref="J21" r:id="rId6"/>
    <hyperlink xmlns:r="http://schemas.openxmlformats.org/officeDocument/2006/relationships" ref="J22" r:id="rId7"/>
    <hyperlink xmlns:r="http://schemas.openxmlformats.org/officeDocument/2006/relationships" ref="J23" r:id="rId8"/>
    <hyperlink xmlns:r="http://schemas.openxmlformats.org/officeDocument/2006/relationships" ref="J24" r:id="rId9"/>
    <hyperlink xmlns:r="http://schemas.openxmlformats.org/officeDocument/2006/relationships" ref="J25" r:id="rId10"/>
    <hyperlink xmlns:r="http://schemas.openxmlformats.org/officeDocument/2006/relationships" ref="J26" r:id="rId11"/>
    <hyperlink xmlns:r="http://schemas.openxmlformats.org/officeDocument/2006/relationships" ref="J27" r:id="rId12"/>
    <hyperlink xmlns:r="http://schemas.openxmlformats.org/officeDocument/2006/relationships" ref="J28" r:id="rId13"/>
    <hyperlink xmlns:r="http://schemas.openxmlformats.org/officeDocument/2006/relationships" ref="J29" r:id="rId14"/>
    <hyperlink xmlns:r="http://schemas.openxmlformats.org/officeDocument/2006/relationships" ref="J30" r:id="rId15"/>
    <hyperlink xmlns:r="http://schemas.openxmlformats.org/officeDocument/2006/relationships" ref="J31" r:id="rId16"/>
    <hyperlink xmlns:r="http://schemas.openxmlformats.org/officeDocument/2006/relationships" ref="J32" r:id="rId17"/>
    <hyperlink xmlns:r="http://schemas.openxmlformats.org/officeDocument/2006/relationships" ref="J33" r:id="rId18"/>
    <hyperlink xmlns:r="http://schemas.openxmlformats.org/officeDocument/2006/relationships" ref="J34" r:id="rId19"/>
    <hyperlink xmlns:r="http://schemas.openxmlformats.org/officeDocument/2006/relationships" ref="J35" r:id="rId20"/>
    <hyperlink xmlns:r="http://schemas.openxmlformats.org/officeDocument/2006/relationships" ref="J36" r:id="rId21"/>
    <hyperlink xmlns:r="http://schemas.openxmlformats.org/officeDocument/2006/relationships" ref="J37" r:id="rId22"/>
    <hyperlink xmlns:r="http://schemas.openxmlformats.org/officeDocument/2006/relationships" ref="J38" r:id="rId23"/>
    <hyperlink xmlns:r="http://schemas.openxmlformats.org/officeDocument/2006/relationships" ref="J39" r:id="rId24"/>
    <hyperlink xmlns:r="http://schemas.openxmlformats.org/officeDocument/2006/relationships" ref="J40" r:id="rId25"/>
    <hyperlink xmlns:r="http://schemas.openxmlformats.org/officeDocument/2006/relationships" ref="J41" r:id="rId26"/>
    <hyperlink xmlns:r="http://schemas.openxmlformats.org/officeDocument/2006/relationships" ref="J42" r:id="rId27"/>
    <hyperlink xmlns:r="http://schemas.openxmlformats.org/officeDocument/2006/relationships" ref="J43" r:id="rId28"/>
    <hyperlink xmlns:r="http://schemas.openxmlformats.org/officeDocument/2006/relationships" ref="J44" r:id="rId29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3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35" customWidth="1" min="1" max="1"/>
    <col width="16" customWidth="1" min="2" max="2"/>
    <col width="72" customWidth="1" min="3" max="3"/>
  </cols>
  <sheetData>
    <row r="1" ht="32" customHeight="1">
      <c r="A1" s="55" t="inlineStr">
        <is>
          <t>采购执行概览</t>
        </is>
      </c>
      <c r="B1" s="4" t="n"/>
      <c r="C1" s="4" t="n"/>
    </row>
    <row r="2" ht="34" customHeight="1">
      <c r="A2" s="56" t="inlineStr">
        <is>
          <t>传动</t>
        </is>
      </c>
      <c r="B2" s="56" t="n">
        <v>2</v>
      </c>
      <c r="C2" s="56" t="inlineStr">
        <is>
          <t>先按类别，再按材质，同种物料规格相邻排列。加工件增加“图纸 / 加工文件”列；购买渠道填写在“购买链接 / 供应商”列。</t>
        </is>
      </c>
    </row>
    <row r="3" ht="24" customHeight="1">
      <c r="A3" s="57" t="inlineStr">
        <is>
          <t>总条目</t>
        </is>
      </c>
      <c r="B3" s="58">
        <f>COUNTA(采购清单!C5:C44)</f>
        <v/>
      </c>
      <c r="C3" s="2" t="inlineStr">
        <is>
          <t>按物料条目统计</t>
        </is>
      </c>
    </row>
    <row r="4" ht="24" customHeight="1">
      <c r="A4" s="57" t="inlineStr">
        <is>
          <t>已下单</t>
        </is>
      </c>
      <c r="B4" s="58">
        <f>COUNTIF(采购清单!I5:I44,"已下单")</f>
        <v/>
      </c>
      <c r="C4" s="2" t="inlineStr">
        <is>
          <t>按物料条目统计</t>
        </is>
      </c>
    </row>
    <row r="5" ht="24" customHeight="1">
      <c r="A5" s="57" t="inlineStr">
        <is>
          <t>已采购</t>
        </is>
      </c>
      <c r="B5" s="58">
        <f>COUNTIF(采购清单!I5:I44,"是")</f>
        <v/>
      </c>
      <c r="C5" s="2" t="inlineStr">
        <is>
          <t>按物料条目统计</t>
        </is>
      </c>
    </row>
    <row r="6" ht="24" customHeight="1">
      <c r="A6" s="57" t="inlineStr">
        <is>
          <t>待采购</t>
        </is>
      </c>
      <c r="B6" s="58">
        <f>COUNTIF(采购清单!I5:I44,"否")</f>
        <v/>
      </c>
      <c r="C6" s="2" t="inlineStr">
        <is>
          <t>按物料条目统计</t>
        </is>
      </c>
    </row>
    <row r="7">
      <c r="A7" s="2" t="inlineStr">
        <is>
          <t>负压</t>
        </is>
      </c>
      <c r="B7" s="2" t="n">
        <v>3</v>
      </c>
      <c r="C7" s="2" t="inlineStr">
        <is>
          <t>按物料条目统计</t>
        </is>
      </c>
    </row>
    <row r="8">
      <c r="A8" s="59" t="inlineStr">
        <is>
          <t>状态图例</t>
        </is>
      </c>
      <c r="B8" s="2" t="n"/>
      <c r="C8" s="2" t="n"/>
    </row>
    <row r="9">
      <c r="A9" s="60" t="inlineStr">
        <is>
          <t>否：尚未采购</t>
        </is>
      </c>
      <c r="B9" s="3" t="n"/>
      <c r="C9" s="3" t="n"/>
    </row>
    <row r="10" ht="42" customHeight="1">
      <c r="A10" s="61" t="inlineStr">
        <is>
          <t>已下单：等待收货</t>
        </is>
      </c>
      <c r="B10" s="2" t="n"/>
      <c r="C10" s="2" t="n"/>
    </row>
    <row r="11">
      <c r="A11" s="62" t="inlineStr">
        <is>
          <t>是：已采购</t>
        </is>
      </c>
      <c r="B11" s="4" t="n"/>
      <c r="C11" s="4" t="n"/>
    </row>
    <row r="12">
      <c r="A12" s="2" t="inlineStr">
        <is>
          <t>默认整车加工配置：纯惯导车模 v4.0.3、加强茎 v7.0.0、1:5 齿轮 v1.3.1。</t>
        </is>
      </c>
      <c r="B12" s="4" t="n"/>
      <c r="C12" s="4" t="n"/>
    </row>
    <row r="13">
      <c r="A13" s="5" t="inlineStr">
        <is>
          <t>光电管车模、1:8.5 齿轮和电磁支架已标为可选，不应与默认版本重复下单。</t>
        </is>
      </c>
    </row>
    <row r="14">
      <c r="A14" s="5" t="inlineStr">
        <is>
          <t>CNC 加工要求：所有需螺丝固定的 CNC 件必须按图增加 M2 螺纹孔，不能只留光孔；加工后逐孔试装确认。</t>
        </is>
      </c>
    </row>
    <row r="15">
      <c r="A15" s="5" t="inlineStr">
        <is>
          <t>加工购买方式：边板/侧板搜“铨洲”；车模/加强茎搜“哈长伟”；齿轮由嘉立创按 PA12S 打印；粘胶和电磁支架自行 3D 打印。</t>
        </is>
      </c>
    </row>
    <row r="16">
      <c r="A16" s="5" t="inlineStr">
        <is>
          <t>链接核验说明：2026-08-27 已通过淘宝商品详情页核验；“有货/预售”仅代表核验时页面状态，最终以下单页为准。</t>
        </is>
      </c>
    </row>
  </sheetData>
  <mergeCells count="7">
    <mergeCell ref="A13:C13"/>
    <mergeCell ref="A11:C11"/>
    <mergeCell ref="A1:C1"/>
    <mergeCell ref="A14:C14"/>
    <mergeCell ref="A12:C12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纯惯导机械采购清单</dc:title>
  <dc:subject xmlns:dc="http://purl.org/dc/elements/1.1/">机械、负压与传动物料采购清单</dc:subject>
  <dcterms:created xmlns:dcterms="http://purl.org/dc/terms/" xmlns:xsi="http://www.w3.org/2001/XMLSchema-instance" xsi:type="dcterms:W3CDTF">2026-08-27T04:05:00Z</dcterms:created>
  <dcterms:modified xmlns:dcterms="http://purl.org/dc/terms/" xmlns:xsi="http://www.w3.org/2001/XMLSchema-instance" xsi:type="dcterms:W3CDTF">2026-08-27T05:54:12Z</dcterms:modified>
  <cp:lastModifiedBy>RPG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F94BEF66E1554FF8AA23DC70FF39C07E_12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